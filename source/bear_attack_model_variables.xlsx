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thz-my.sharepoint.com/personal/aminor_ethz_ch/Documents/Master/2026-FS/Participatory Environmental Modelling/PEM_Project/pem_python_test/source/"/>
    </mc:Choice>
  </mc:AlternateContent>
  <xr:revisionPtr revIDLastSave="103" documentId="11_ED0446E7D443CC9E621180974728DE3FF3E801AF" xr6:coauthVersionLast="47" xr6:coauthVersionMax="47" xr10:uidLastSave="{4B1F72BD-A3CE-44C7-96DF-BC06E6956F90}"/>
  <bookViews>
    <workbookView xWindow="-108" yWindow="-108" windowWidth="30936" windowHeight="16776" activeTab="1" xr2:uid="{00000000-000D-0000-FFFF-FFFF00000000}"/>
  </bookViews>
  <sheets>
    <sheet name="default_general" sheetId="1" r:id="rId1"/>
    <sheet name="default_mun1" sheetId="6" r:id="rId2"/>
    <sheet name="default_mun2" sheetId="4" r:id="rId3"/>
    <sheet name="default_mun3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5" l="1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23" i="6"/>
  <c r="D24" i="6"/>
  <c r="D25" i="6"/>
  <c r="D26" i="6"/>
  <c r="D27" i="6"/>
  <c r="D28" i="6"/>
  <c r="D29" i="6"/>
  <c r="D30" i="6"/>
  <c r="D31" i="6"/>
  <c r="D32" i="6"/>
  <c r="D11" i="6"/>
  <c r="D12" i="6"/>
  <c r="D13" i="6"/>
  <c r="D14" i="6"/>
  <c r="D15" i="6"/>
  <c r="D16" i="6"/>
  <c r="D17" i="6"/>
  <c r="D18" i="6"/>
  <c r="D19" i="6"/>
  <c r="D20" i="6"/>
  <c r="D21" i="6"/>
  <c r="D22" i="6"/>
</calcChain>
</file>

<file path=xl/sharedStrings.xml><?xml version="1.0" encoding="utf-8"?>
<sst xmlns="http://schemas.openxmlformats.org/spreadsheetml/2006/main" count="512" uniqueCount="105">
  <si>
    <t>Name</t>
  </si>
  <si>
    <t>Description</t>
  </si>
  <si>
    <t>Notation</t>
  </si>
  <si>
    <t>Value</t>
  </si>
  <si>
    <t>Source</t>
  </si>
  <si>
    <t>Average incursions per year and bear</t>
  </si>
  <si>
    <t>Estimated number of bear incursions per year in the broader area surrounding the property - a baseline pressure metric used to scale the attack rate.</t>
  </si>
  <si>
    <t>I_y</t>
  </si>
  <si>
    <t>Needs to be asked - Interviews with experts</t>
  </si>
  <si>
    <t>Number of confident bears</t>
  </si>
  <si>
    <t>Number of bears in the broader area that are habituated/confident enough to approach human settlements and cause damage. Multiplied by I_y to scale the property-level encounter rate.</t>
  </si>
  <si>
    <t>N_bears</t>
  </si>
  <si>
    <t>Food availability modifier</t>
  </si>
  <si>
    <t>Multiplicative adjustment on the attack rate based on wild food availability. Low mast/berry years (&gt;1) increase the attack rate; abundant wild food (&lt;1) decreases it.</t>
  </si>
  <si>
    <t>P(D_i|food)</t>
  </si>
  <si>
    <t>Damage to small livestock</t>
  </si>
  <si>
    <t>Probability of damage to small livestock (sheep, goats, poultry) given bear presence and encounter. Combined with the encounter share to determine how many events target this element type.</t>
  </si>
  <si>
    <t>P(D_SL|B,E)</t>
  </si>
  <si>
    <t>Damage to large livestock</t>
  </si>
  <si>
    <t>Probability of damage to large livestock (cattle, horses) given bear presence and encounter.</t>
  </si>
  <si>
    <t>P(D_LL|B,E)</t>
  </si>
  <si>
    <t>Damage to agriculture</t>
  </si>
  <si>
    <t>Probability of damage to agricultural assets (orchards, beehives, crops) given bear presence and encounter.</t>
  </si>
  <si>
    <t>P(D_Ag|B,E)</t>
  </si>
  <si>
    <t>Encounter share - small livestock</t>
  </si>
  <si>
    <t>Share of all bear encounters at this property that target small livestock. The three element shares must sum to 100%.</t>
  </si>
  <si>
    <t>s_enc_SL</t>
  </si>
  <si>
    <t>Natura Protetta Orso Marsicano (2024)</t>
  </si>
  <si>
    <t>Encounter share - large livestock</t>
  </si>
  <si>
    <t>Share of all bear encounters at this property that target large livestock. The three element shares must sum to 100%.</t>
  </si>
  <si>
    <t>s_enc_LL</t>
  </si>
  <si>
    <t>Encounter share - agriculture</t>
  </si>
  <si>
    <t>Share of all bear encounters at this property that target agricultural assets. The three element shares must sum to 100%.</t>
  </si>
  <si>
    <t>s_enc_Ag</t>
  </si>
  <si>
    <t>Maintenance of protective measure</t>
  </si>
  <si>
    <t>Probability that the protective measure is properly maintained (functional) at the time of an encounter. A maintained measure is assumed to be 100% effective.</t>
  </si>
  <si>
    <t>P(M_j)</t>
  </si>
  <si>
    <t>Failure of protective measure</t>
  </si>
  <si>
    <t>Probability that the protective measure fails (1 - P(M_j)). Auto-derived from P(M_j).</t>
  </si>
  <si>
    <t>P(¬M_j)</t>
  </si>
  <si>
    <t>Calculated</t>
  </si>
  <si>
    <t>Number of small livestock units</t>
  </si>
  <si>
    <t>Total number of small livestock units (head) present and exposed on the property.</t>
  </si>
  <si>
    <t>N_SL</t>
  </si>
  <si>
    <t>Baseline comes from Salviamo l'orso (2026), works as a slider.</t>
  </si>
  <si>
    <t>Number of large livestock units</t>
  </si>
  <si>
    <t>Total number of large livestock units (head) present and exposed on the property.</t>
  </si>
  <si>
    <t>N_LL</t>
  </si>
  <si>
    <t>Number of agricultural units</t>
  </si>
  <si>
    <t>Total number of agricultural units exposed on the property (e.g., beehives, fruit trees).</t>
  </si>
  <si>
    <t>N_Ag</t>
  </si>
  <si>
    <t>Units damaged per event - small livestock</t>
  </si>
  <si>
    <t>Expected number of small livestock units lost or damaged in a single bear damage event when the bear has access. A behavioral parameter of bear-on-flock attacks; bears typically take 3-5 head per event.</t>
  </si>
  <si>
    <t>u_SL</t>
  </si>
  <si>
    <t>Units damaged per event - large livestock</t>
  </si>
  <si>
    <t>Expected number of large livestock units (typically calves) lost in a single bear damage event when the bear has access. Bears usually take 1 calf per event.</t>
  </si>
  <si>
    <t>u_LL</t>
  </si>
  <si>
    <t>Units damaged per event - agriculture</t>
  </si>
  <si>
    <t>Expected number of agricultural units (e.g., beehives) destroyed in a single bear damage event when the bear has access. Bears tend to destroy multiple beehives per visit.</t>
  </si>
  <si>
    <t>u_Ag</t>
  </si>
  <si>
    <t>Compensation cost per unit - small livestock</t>
  </si>
  <si>
    <t>Compensation paid per small livestock unit lost or damaged.</t>
  </si>
  <si>
    <t>c_SL</t>
  </si>
  <si>
    <t>Compensation cost per unit - large livestock</t>
  </si>
  <si>
    <t>Compensation paid per large livestock unit lost or damaged.</t>
  </si>
  <si>
    <t>c_LL</t>
  </si>
  <si>
    <t>Compensation cost per unit - agriculture</t>
  </si>
  <si>
    <t>Compensation paid per agricultural unit lost or damaged.</t>
  </si>
  <si>
    <t>c_Ag</t>
  </si>
  <si>
    <t>Share of small livestock protected</t>
  </si>
  <si>
    <t>Percentage of protected small livestock units (e.g., behind an electric fence or in a guarded pen). The actual protected count is this share times N_SL.</t>
  </si>
  <si>
    <t>s_prot_SL</t>
  </si>
  <si>
    <t>Either baseline or assumption - needs slided</t>
  </si>
  <si>
    <t>Share of large livestock protected</t>
  </si>
  <si>
    <t>Percentage of protected large livestock units (e.g., behind an electric fence or in a guarded pen). The actual protected count is this share times N_SL.</t>
  </si>
  <si>
    <t>s_prot_LL</t>
  </si>
  <si>
    <t>Share of agriculture protected</t>
  </si>
  <si>
    <t>Percentage of protected agricultrue units (e.g., behind an electric fence or in a guarded pen). The actual protected count is this share times N_SL.</t>
  </si>
  <si>
    <t>s_prot_Ag</t>
  </si>
  <si>
    <t>Installation cost per unit - small livestock</t>
  </si>
  <si>
    <t>One-time installation cost of the protective measure for small livestock, per unit protected (e.g., per sheep place in a guarded enclosure).</t>
  </si>
  <si>
    <t>c_install_SL</t>
  </si>
  <si>
    <t>Installation cost per unit - large livestock</t>
  </si>
  <si>
    <t>One-time installation cost of the protective measure for large livestock, per unit protected.</t>
  </si>
  <si>
    <t>c_install_LL</t>
  </si>
  <si>
    <t>Installation cost per unit - agriculture</t>
  </si>
  <si>
    <t>One-time installation cost of the protective measure for agriculture, per unit protected (e.g., per beehive on a fenced platform).</t>
  </si>
  <si>
    <t>c_install_Ag</t>
  </si>
  <si>
    <t>Maintenance cost per unit protected - small livestock</t>
  </si>
  <si>
    <t>Recurring annual maintenance cost of the protective measure for small livestock, per unit protected (e.g., per sheep place).</t>
  </si>
  <si>
    <t>c_maintenance_SL</t>
  </si>
  <si>
    <t>Maintenance cost per unit protected - large livestock</t>
  </si>
  <si>
    <t>Recurring annual maintenance cost of the protective measure for large livestock, per unit protected.</t>
  </si>
  <si>
    <t>c_maintenance_LL</t>
  </si>
  <si>
    <t>Maintenance cost per unit protected - agriculture</t>
  </si>
  <si>
    <t>Recurring annual maintenance cost of the protective measure for agriculture, per unit protected (e.g., per beehive on a fenced platform).</t>
  </si>
  <si>
    <t>c_maintenance_Ag</t>
  </si>
  <si>
    <t>Lifespan of protective measure</t>
  </si>
  <si>
    <t>Expected useful lifespan of the protective measure, in years. After this period a re-investment would be needed.</t>
  </si>
  <si>
    <t>lifespan_j</t>
  </si>
  <si>
    <t>Needs to be asked to Berenice or Paula</t>
  </si>
  <si>
    <t>Analysis time horizon</t>
  </si>
  <si>
    <t>Number of years over which the cumulative cost-benefit is evaluated. Installation costs are paid in year 0; maintenance and damages accrue each year.</t>
  </si>
  <si>
    <t>T</t>
  </si>
  <si>
    <t>Slider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</si>
</sst>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9" fontId="3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9" fontId="2" fillId="5" borderId="1" xfId="1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9" fontId="2" fillId="7" borderId="1" xfId="1" applyFont="1" applyFill="1" applyBorder="1" applyAlignment="1">
      <alignment horizontal="left" vertical="top" wrapText="1"/>
    </xf>
    <xf numFmtId="9" fontId="2" fillId="4" borderId="1" xfId="1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9" fontId="2" fillId="3" borderId="1" xfId="0" applyNumberFormat="1" applyFont="1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top" wrapText="1"/>
    </xf>
    <xf numFmtId="0" fontId="2" fillId="5" borderId="2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9" fontId="2" fillId="3" borderId="1" xfId="0" applyNumberFormat="1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top" wrapText="1"/>
    </xf>
    <xf numFmtId="0" fontId="6" fillId="6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top" wrapText="1"/>
    </xf>
    <xf numFmtId="9" fontId="6" fillId="7" borderId="3" xfId="1" applyFont="1" applyFill="1" applyBorder="1" applyAlignment="1">
      <alignment horizontal="center" vertical="center" wrapText="1"/>
    </xf>
    <xf numFmtId="9" fontId="2" fillId="7" borderId="3" xfId="1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left" vertical="top" wrapText="1"/>
    </xf>
    <xf numFmtId="0" fontId="5" fillId="3" borderId="3" xfId="0" applyFont="1" applyFill="1" applyBorder="1" applyAlignment="1">
      <alignment horizontal="left" vertical="top" wrapText="1"/>
    </xf>
    <xf numFmtId="9" fontId="6" fillId="3" borderId="3" xfId="0" applyNumberFormat="1" applyFont="1" applyFill="1" applyBorder="1" applyAlignment="1">
      <alignment horizontal="center" vertical="center" wrapText="1"/>
    </xf>
    <xf numFmtId="9" fontId="2" fillId="3" borderId="3" xfId="0" applyNumberFormat="1" applyFont="1" applyFill="1" applyBorder="1" applyAlignment="1">
      <alignment horizontal="left" vertical="center" wrapText="1"/>
    </xf>
    <xf numFmtId="0" fontId="2" fillId="9" borderId="3" xfId="0" applyFont="1" applyFill="1" applyBorder="1" applyAlignment="1">
      <alignment horizontal="left" vertical="top" wrapText="1"/>
    </xf>
    <xf numFmtId="0" fontId="6" fillId="9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left" vertical="center" wrapText="1"/>
    </xf>
    <xf numFmtId="0" fontId="5" fillId="9" borderId="3" xfId="0" applyFont="1" applyFill="1" applyBorder="1" applyAlignment="1">
      <alignment horizontal="left" vertical="top" wrapText="1"/>
    </xf>
    <xf numFmtId="0" fontId="5" fillId="9" borderId="3" xfId="0" applyFont="1" applyFill="1" applyBorder="1" applyAlignment="1">
      <alignment horizontal="left" vertical="center" wrapText="1"/>
    </xf>
    <xf numFmtId="10" fontId="6" fillId="9" borderId="1" xfId="0" applyNumberFormat="1" applyFont="1" applyFill="1" applyBorder="1" applyAlignment="1">
      <alignment horizontal="center" vertical="center" wrapText="1"/>
    </xf>
    <xf numFmtId="9" fontId="2" fillId="7" borderId="3" xfId="1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left" vertical="top" wrapText="1"/>
    </xf>
    <xf numFmtId="10" fontId="6" fillId="9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zoomScale="85" zoomScaleNormal="85" workbookViewId="0">
      <pane ySplit="1" topLeftCell="A2" activePane="bottomLeft" state="frozen"/>
      <selection pane="bottomLeft" activeCell="J4" sqref="J4"/>
    </sheetView>
  </sheetViews>
  <sheetFormatPr defaultRowHeight="14.4" x14ac:dyDescent="0.3"/>
  <cols>
    <col min="1" max="1" width="48" customWidth="1"/>
    <col min="2" max="2" width="80" customWidth="1"/>
    <col min="3" max="3" width="18" customWidth="1"/>
    <col min="4" max="4" width="14" customWidth="1"/>
    <col min="5" max="5" width="47.88671875" customWidth="1"/>
  </cols>
  <sheetData>
    <row r="1" spans="1:5" ht="22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2" t="s">
        <v>4</v>
      </c>
    </row>
    <row r="2" spans="1:5" ht="45" customHeight="1" x14ac:dyDescent="0.3">
      <c r="A2" s="5" t="s">
        <v>5</v>
      </c>
      <c r="B2" s="5" t="s">
        <v>6</v>
      </c>
      <c r="C2" s="5" t="s">
        <v>7</v>
      </c>
      <c r="D2" s="5">
        <v>350</v>
      </c>
      <c r="E2" s="13" t="s">
        <v>8</v>
      </c>
    </row>
    <row r="3" spans="1:5" ht="45" customHeight="1" x14ac:dyDescent="0.3">
      <c r="A3" s="5" t="s">
        <v>9</v>
      </c>
      <c r="B3" s="5" t="s">
        <v>10</v>
      </c>
      <c r="C3" s="5" t="s">
        <v>11</v>
      </c>
      <c r="D3" s="5">
        <v>5</v>
      </c>
      <c r="E3" s="5" t="s">
        <v>8</v>
      </c>
    </row>
    <row r="4" spans="1:5" ht="45" customHeight="1" x14ac:dyDescent="0.3">
      <c r="A4" s="15" t="s">
        <v>12</v>
      </c>
      <c r="B4" s="15" t="s">
        <v>13</v>
      </c>
      <c r="C4" s="10" t="s">
        <v>14</v>
      </c>
      <c r="D4" s="10">
        <v>1</v>
      </c>
      <c r="E4" s="10"/>
    </row>
    <row r="5" spans="1:5" ht="45" customHeight="1" x14ac:dyDescent="0.3">
      <c r="A5" s="3" t="s">
        <v>15</v>
      </c>
      <c r="B5" s="3" t="s">
        <v>16</v>
      </c>
      <c r="C5" s="3" t="s">
        <v>17</v>
      </c>
      <c r="D5" s="9">
        <v>0.85</v>
      </c>
      <c r="E5" s="17" t="s">
        <v>8</v>
      </c>
    </row>
    <row r="6" spans="1:5" ht="45" customHeight="1" x14ac:dyDescent="0.3">
      <c r="A6" s="3" t="s">
        <v>18</v>
      </c>
      <c r="B6" s="3" t="s">
        <v>19</v>
      </c>
      <c r="C6" s="3" t="s">
        <v>20</v>
      </c>
      <c r="D6" s="9">
        <v>0.35</v>
      </c>
      <c r="E6" s="17" t="s">
        <v>8</v>
      </c>
    </row>
    <row r="7" spans="1:5" ht="45" customHeight="1" x14ac:dyDescent="0.3">
      <c r="A7" s="3" t="s">
        <v>21</v>
      </c>
      <c r="B7" s="3" t="s">
        <v>22</v>
      </c>
      <c r="C7" s="3" t="s">
        <v>23</v>
      </c>
      <c r="D7" s="9">
        <v>0.65</v>
      </c>
      <c r="E7" s="17" t="s">
        <v>8</v>
      </c>
    </row>
    <row r="8" spans="1:5" ht="45" customHeight="1" x14ac:dyDescent="0.3">
      <c r="A8" s="4" t="s">
        <v>24</v>
      </c>
      <c r="B8" s="4" t="s">
        <v>25</v>
      </c>
      <c r="C8" s="4" t="s">
        <v>26</v>
      </c>
      <c r="D8" s="6">
        <v>0.66</v>
      </c>
      <c r="E8" s="16" t="s">
        <v>27</v>
      </c>
    </row>
    <row r="9" spans="1:5" ht="45" customHeight="1" x14ac:dyDescent="0.3">
      <c r="A9" s="4" t="s">
        <v>28</v>
      </c>
      <c r="B9" s="4" t="s">
        <v>29</v>
      </c>
      <c r="C9" s="4" t="s">
        <v>30</v>
      </c>
      <c r="D9" s="6">
        <v>0.1</v>
      </c>
      <c r="E9" s="16" t="s">
        <v>27</v>
      </c>
    </row>
    <row r="10" spans="1:5" ht="45" customHeight="1" x14ac:dyDescent="0.3">
      <c r="A10" s="4" t="s">
        <v>31</v>
      </c>
      <c r="B10" s="4" t="s">
        <v>32</v>
      </c>
      <c r="C10" s="4" t="s">
        <v>33</v>
      </c>
      <c r="D10" s="6">
        <v>0.24</v>
      </c>
      <c r="E10" s="16" t="s">
        <v>27</v>
      </c>
    </row>
    <row r="11" spans="1:5" ht="45" customHeight="1" x14ac:dyDescent="0.3">
      <c r="A11" s="7" t="s">
        <v>34</v>
      </c>
      <c r="B11" s="7" t="s">
        <v>35</v>
      </c>
      <c r="C11" s="7" t="s">
        <v>36</v>
      </c>
      <c r="D11" s="8">
        <v>0.85</v>
      </c>
      <c r="E11" s="8" t="s">
        <v>8</v>
      </c>
    </row>
    <row r="12" spans="1:5" ht="45" customHeight="1" x14ac:dyDescent="0.3">
      <c r="A12" s="7" t="s">
        <v>37</v>
      </c>
      <c r="B12" s="7" t="s">
        <v>38</v>
      </c>
      <c r="C12" s="7" t="s">
        <v>39</v>
      </c>
      <c r="D12" s="8">
        <v>0.15</v>
      </c>
      <c r="E12" s="8" t="s">
        <v>40</v>
      </c>
    </row>
    <row r="13" spans="1:5" ht="45" customHeight="1" x14ac:dyDescent="0.3">
      <c r="A13" s="5" t="s">
        <v>41</v>
      </c>
      <c r="B13" s="5" t="s">
        <v>42</v>
      </c>
      <c r="C13" s="5" t="s">
        <v>43</v>
      </c>
      <c r="D13" s="5">
        <v>15000</v>
      </c>
      <c r="E13" s="19" t="s">
        <v>44</v>
      </c>
    </row>
    <row r="14" spans="1:5" ht="45" customHeight="1" x14ac:dyDescent="0.3">
      <c r="A14" s="5" t="s">
        <v>45</v>
      </c>
      <c r="B14" s="5" t="s">
        <v>46</v>
      </c>
      <c r="C14" s="5" t="s">
        <v>47</v>
      </c>
      <c r="D14" s="5">
        <v>2500</v>
      </c>
      <c r="E14" s="19" t="s">
        <v>44</v>
      </c>
    </row>
    <row r="15" spans="1:5" ht="45" customHeight="1" x14ac:dyDescent="0.3">
      <c r="A15" s="5" t="s">
        <v>48</v>
      </c>
      <c r="B15" s="5" t="s">
        <v>49</v>
      </c>
      <c r="C15" s="5" t="s">
        <v>50</v>
      </c>
      <c r="D15" s="5">
        <v>2000</v>
      </c>
      <c r="E15" s="19" t="s">
        <v>44</v>
      </c>
    </row>
    <row r="16" spans="1:5" ht="45" customHeight="1" x14ac:dyDescent="0.3">
      <c r="A16" s="3" t="s">
        <v>51</v>
      </c>
      <c r="B16" s="3" t="s">
        <v>52</v>
      </c>
      <c r="C16" s="3" t="s">
        <v>53</v>
      </c>
      <c r="D16" s="3">
        <v>10</v>
      </c>
      <c r="E16" s="17" t="s">
        <v>8</v>
      </c>
    </row>
    <row r="17" spans="1:5" ht="45" customHeight="1" x14ac:dyDescent="0.3">
      <c r="A17" s="3" t="s">
        <v>54</v>
      </c>
      <c r="B17" s="3" t="s">
        <v>55</v>
      </c>
      <c r="C17" s="3" t="s">
        <v>56</v>
      </c>
      <c r="D17" s="3">
        <v>2</v>
      </c>
      <c r="E17" s="17" t="s">
        <v>8</v>
      </c>
    </row>
    <row r="18" spans="1:5" ht="45" customHeight="1" x14ac:dyDescent="0.3">
      <c r="A18" s="3" t="s">
        <v>57</v>
      </c>
      <c r="B18" s="3" t="s">
        <v>58</v>
      </c>
      <c r="C18" s="3" t="s">
        <v>59</v>
      </c>
      <c r="D18" s="3">
        <v>6</v>
      </c>
      <c r="E18" s="17" t="s">
        <v>8</v>
      </c>
    </row>
    <row r="19" spans="1:5" ht="45" customHeight="1" x14ac:dyDescent="0.3">
      <c r="A19" s="4" t="s">
        <v>60</v>
      </c>
      <c r="B19" s="4" t="s">
        <v>61</v>
      </c>
      <c r="C19" s="4" t="s">
        <v>62</v>
      </c>
      <c r="D19" s="4">
        <v>50</v>
      </c>
      <c r="E19" s="18" t="s">
        <v>27</v>
      </c>
    </row>
    <row r="20" spans="1:5" ht="45" customHeight="1" x14ac:dyDescent="0.3">
      <c r="A20" s="4" t="s">
        <v>63</v>
      </c>
      <c r="B20" s="4" t="s">
        <v>64</v>
      </c>
      <c r="C20" s="4" t="s">
        <v>65</v>
      </c>
      <c r="D20" s="4">
        <v>800</v>
      </c>
      <c r="E20" s="14" t="s">
        <v>27</v>
      </c>
    </row>
    <row r="21" spans="1:5" ht="45" customHeight="1" x14ac:dyDescent="0.3">
      <c r="A21" s="4" t="s">
        <v>66</v>
      </c>
      <c r="B21" s="4" t="s">
        <v>67</v>
      </c>
      <c r="C21" s="4" t="s">
        <v>68</v>
      </c>
      <c r="D21" s="4">
        <v>600</v>
      </c>
      <c r="E21" s="14" t="s">
        <v>27</v>
      </c>
    </row>
    <row r="22" spans="1:5" ht="45" customHeight="1" x14ac:dyDescent="0.3">
      <c r="A22" s="2" t="s">
        <v>69</v>
      </c>
      <c r="B22" s="20" t="s">
        <v>70</v>
      </c>
      <c r="C22" s="2" t="s">
        <v>71</v>
      </c>
      <c r="D22" s="11">
        <v>0.6</v>
      </c>
      <c r="E22" s="21" t="s">
        <v>72</v>
      </c>
    </row>
    <row r="23" spans="1:5" ht="45" customHeight="1" x14ac:dyDescent="0.3">
      <c r="A23" s="2" t="s">
        <v>73</v>
      </c>
      <c r="B23" s="20" t="s">
        <v>74</v>
      </c>
      <c r="C23" s="2" t="s">
        <v>75</v>
      </c>
      <c r="D23" s="11">
        <v>0.25</v>
      </c>
      <c r="E23" s="21" t="s">
        <v>72</v>
      </c>
    </row>
    <row r="24" spans="1:5" ht="45" customHeight="1" x14ac:dyDescent="0.3">
      <c r="A24" s="2" t="s">
        <v>76</v>
      </c>
      <c r="B24" s="20" t="s">
        <v>77</v>
      </c>
      <c r="C24" s="2" t="s">
        <v>78</v>
      </c>
      <c r="D24" s="11">
        <v>0.2</v>
      </c>
      <c r="E24" s="21" t="s">
        <v>72</v>
      </c>
    </row>
    <row r="25" spans="1:5" ht="45" customHeight="1" x14ac:dyDescent="0.3">
      <c r="A25" s="5" t="s">
        <v>79</v>
      </c>
      <c r="B25" s="5" t="s">
        <v>80</v>
      </c>
      <c r="C25" s="5" t="s">
        <v>81</v>
      </c>
      <c r="D25" s="5">
        <v>20</v>
      </c>
      <c r="E25" s="22" t="s">
        <v>8</v>
      </c>
    </row>
    <row r="26" spans="1:5" ht="45" customHeight="1" x14ac:dyDescent="0.3">
      <c r="A26" s="5" t="s">
        <v>82</v>
      </c>
      <c r="B26" s="5" t="s">
        <v>83</v>
      </c>
      <c r="C26" s="5" t="s">
        <v>84</v>
      </c>
      <c r="D26" s="5">
        <v>80</v>
      </c>
      <c r="E26" s="22" t="s">
        <v>8</v>
      </c>
    </row>
    <row r="27" spans="1:5" ht="45" customHeight="1" x14ac:dyDescent="0.3">
      <c r="A27" s="5" t="s">
        <v>85</v>
      </c>
      <c r="B27" s="5" t="s">
        <v>86</v>
      </c>
      <c r="C27" s="5" t="s">
        <v>87</v>
      </c>
      <c r="D27" s="5">
        <v>80</v>
      </c>
      <c r="E27" s="22" t="s">
        <v>8</v>
      </c>
    </row>
    <row r="28" spans="1:5" ht="45" customHeight="1" x14ac:dyDescent="0.3">
      <c r="A28" s="4" t="s">
        <v>88</v>
      </c>
      <c r="B28" s="4" t="s">
        <v>89</v>
      </c>
      <c r="C28" s="4" t="s">
        <v>90</v>
      </c>
      <c r="D28" s="4">
        <v>5</v>
      </c>
      <c r="E28" s="18" t="s">
        <v>8</v>
      </c>
    </row>
    <row r="29" spans="1:5" ht="45" customHeight="1" x14ac:dyDescent="0.3">
      <c r="A29" s="4" t="s">
        <v>91</v>
      </c>
      <c r="B29" s="4" t="s">
        <v>92</v>
      </c>
      <c r="C29" s="4" t="s">
        <v>93</v>
      </c>
      <c r="D29" s="4">
        <v>20</v>
      </c>
      <c r="E29" s="18" t="s">
        <v>8</v>
      </c>
    </row>
    <row r="30" spans="1:5" ht="45" customHeight="1" x14ac:dyDescent="0.3">
      <c r="A30" s="4" t="s">
        <v>94</v>
      </c>
      <c r="B30" s="4" t="s">
        <v>95</v>
      </c>
      <c r="C30" s="4" t="s">
        <v>96</v>
      </c>
      <c r="D30" s="4">
        <v>5</v>
      </c>
      <c r="E30" s="18" t="s">
        <v>8</v>
      </c>
    </row>
    <row r="31" spans="1:5" ht="45" customHeight="1" x14ac:dyDescent="0.3">
      <c r="A31" s="2" t="s">
        <v>97</v>
      </c>
      <c r="B31" s="2" t="s">
        <v>98</v>
      </c>
      <c r="C31" s="2" t="s">
        <v>99</v>
      </c>
      <c r="D31" s="2">
        <v>10</v>
      </c>
      <c r="E31" s="23" t="s">
        <v>100</v>
      </c>
    </row>
    <row r="32" spans="1:5" ht="45" customHeight="1" x14ac:dyDescent="0.3">
      <c r="A32" s="20" t="s">
        <v>101</v>
      </c>
      <c r="B32" s="2" t="s">
        <v>102</v>
      </c>
      <c r="C32" s="2" t="s">
        <v>103</v>
      </c>
      <c r="D32" s="2">
        <v>12</v>
      </c>
      <c r="E32" s="23" t="s">
        <v>104</v>
      </c>
    </row>
    <row r="33" ht="27" customHeight="1" x14ac:dyDescent="0.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3E2D-826E-4F8D-9613-E45946C2E63B}">
  <dimension ref="A1:E32"/>
  <sheetViews>
    <sheetView tabSelected="1" zoomScale="70" zoomScaleNormal="70" workbookViewId="0">
      <pane ySplit="1" topLeftCell="A2" activePane="bottomLeft" state="frozen"/>
      <selection pane="bottomLeft" sqref="A1:XFD1048576"/>
    </sheetView>
  </sheetViews>
  <sheetFormatPr defaultRowHeight="14.4" x14ac:dyDescent="0.3"/>
  <cols>
    <col min="1" max="1" width="48" customWidth="1"/>
    <col min="2" max="2" width="80" customWidth="1"/>
    <col min="3" max="3" width="18" customWidth="1"/>
    <col min="4" max="4" width="14" customWidth="1"/>
    <col min="5" max="5" width="96.77734375" customWidth="1"/>
  </cols>
  <sheetData>
    <row r="1" spans="1:5" x14ac:dyDescent="0.3">
      <c r="A1" s="25" t="s">
        <v>0</v>
      </c>
      <c r="B1" s="25" t="s">
        <v>1</v>
      </c>
      <c r="C1" s="25" t="s">
        <v>2</v>
      </c>
      <c r="D1" s="25" t="s">
        <v>3</v>
      </c>
      <c r="E1" s="12" t="s">
        <v>4</v>
      </c>
    </row>
    <row r="2" spans="1:5" ht="41.4" x14ac:dyDescent="0.3">
      <c r="A2" s="26" t="s">
        <v>9</v>
      </c>
      <c r="B2" s="26" t="s">
        <v>10</v>
      </c>
      <c r="C2" s="26" t="s">
        <v>11</v>
      </c>
      <c r="D2" s="27">
        <v>5</v>
      </c>
      <c r="E2" s="26" t="s">
        <v>8</v>
      </c>
    </row>
    <row r="3" spans="1:5" ht="27.6" x14ac:dyDescent="0.3">
      <c r="A3" s="29" t="s">
        <v>34</v>
      </c>
      <c r="B3" s="29" t="s">
        <v>35</v>
      </c>
      <c r="C3" s="29" t="s">
        <v>36</v>
      </c>
      <c r="D3" s="30">
        <v>0.85</v>
      </c>
      <c r="E3" s="43" t="s">
        <v>8</v>
      </c>
    </row>
    <row r="4" spans="1:5" ht="15" x14ac:dyDescent="0.3">
      <c r="A4" s="29" t="s">
        <v>37</v>
      </c>
      <c r="B4" s="29" t="s">
        <v>38</v>
      </c>
      <c r="C4" s="29" t="s">
        <v>39</v>
      </c>
      <c r="D4" s="30">
        <v>0.15</v>
      </c>
      <c r="E4" s="43" t="s">
        <v>40</v>
      </c>
    </row>
    <row r="5" spans="1:5" ht="15" x14ac:dyDescent="0.3">
      <c r="A5" s="26" t="s">
        <v>41</v>
      </c>
      <c r="B5" s="26" t="s">
        <v>42</v>
      </c>
      <c r="C5" s="26" t="s">
        <v>43</v>
      </c>
      <c r="D5" s="27">
        <v>15000</v>
      </c>
      <c r="E5" s="44" t="s">
        <v>44</v>
      </c>
    </row>
    <row r="6" spans="1:5" ht="15" x14ac:dyDescent="0.3">
      <c r="A6" s="26" t="s">
        <v>45</v>
      </c>
      <c r="B6" s="26" t="s">
        <v>46</v>
      </c>
      <c r="C6" s="26" t="s">
        <v>47</v>
      </c>
      <c r="D6" s="27">
        <v>2500</v>
      </c>
      <c r="E6" s="44" t="s">
        <v>44</v>
      </c>
    </row>
    <row r="7" spans="1:5" ht="15" x14ac:dyDescent="0.3">
      <c r="A7" s="26" t="s">
        <v>48</v>
      </c>
      <c r="B7" s="26" t="s">
        <v>49</v>
      </c>
      <c r="C7" s="26" t="s">
        <v>50</v>
      </c>
      <c r="D7" s="27">
        <v>2000</v>
      </c>
      <c r="E7" s="44" t="s">
        <v>44</v>
      </c>
    </row>
    <row r="8" spans="1:5" ht="27.6" x14ac:dyDescent="0.3">
      <c r="A8" s="33" t="s">
        <v>69</v>
      </c>
      <c r="B8" s="34" t="s">
        <v>70</v>
      </c>
      <c r="C8" s="33" t="s">
        <v>71</v>
      </c>
      <c r="D8" s="35">
        <v>0.6</v>
      </c>
      <c r="E8" s="36" t="s">
        <v>72</v>
      </c>
    </row>
    <row r="9" spans="1:5" ht="27.6" x14ac:dyDescent="0.3">
      <c r="A9" s="33" t="s">
        <v>73</v>
      </c>
      <c r="B9" s="34" t="s">
        <v>74</v>
      </c>
      <c r="C9" s="33" t="s">
        <v>75</v>
      </c>
      <c r="D9" s="35">
        <v>0.25</v>
      </c>
      <c r="E9" s="36" t="s">
        <v>72</v>
      </c>
    </row>
    <row r="10" spans="1:5" ht="27.6" x14ac:dyDescent="0.3">
      <c r="A10" s="33" t="s">
        <v>76</v>
      </c>
      <c r="B10" s="34" t="s">
        <v>77</v>
      </c>
      <c r="C10" s="33" t="s">
        <v>78</v>
      </c>
      <c r="D10" s="35">
        <v>0.2</v>
      </c>
      <c r="E10" s="36" t="s">
        <v>72</v>
      </c>
    </row>
    <row r="11" spans="1:5" ht="27.6" x14ac:dyDescent="0.3">
      <c r="A11" s="37" t="s">
        <v>5</v>
      </c>
      <c r="B11" s="37" t="s">
        <v>6</v>
      </c>
      <c r="C11" s="37" t="s">
        <v>7</v>
      </c>
      <c r="D11" s="38">
        <f>_xlfn.XLOOKUP(A11,default_general!$A$2:$A$32,default_general!$D$2:$D$32,"Error",0)</f>
        <v>350</v>
      </c>
      <c r="E11" s="37" t="s">
        <v>8</v>
      </c>
    </row>
    <row r="12" spans="1:5" ht="27.6" x14ac:dyDescent="0.3">
      <c r="A12" s="40" t="s">
        <v>12</v>
      </c>
      <c r="B12" s="40" t="s">
        <v>13</v>
      </c>
      <c r="C12" s="40" t="s">
        <v>14</v>
      </c>
      <c r="D12" s="38">
        <f>_xlfn.XLOOKUP(A12,default_general!$A$2:$A$32,default_general!$D$2:$D$32,"Error",0)</f>
        <v>1</v>
      </c>
      <c r="E12" s="40"/>
    </row>
    <row r="13" spans="1:5" ht="41.4" x14ac:dyDescent="0.3">
      <c r="A13" s="37" t="s">
        <v>15</v>
      </c>
      <c r="B13" s="37" t="s">
        <v>16</v>
      </c>
      <c r="C13" s="37" t="s">
        <v>17</v>
      </c>
      <c r="D13" s="45">
        <f>_xlfn.XLOOKUP(A13,default_general!$A$2:$A$32,default_general!$D$2:$D$32,"Error",0)</f>
        <v>0.85</v>
      </c>
      <c r="E13" s="40" t="s">
        <v>8</v>
      </c>
    </row>
    <row r="14" spans="1:5" ht="27.6" x14ac:dyDescent="0.3">
      <c r="A14" s="37" t="s">
        <v>18</v>
      </c>
      <c r="B14" s="37" t="s">
        <v>19</v>
      </c>
      <c r="C14" s="37" t="s">
        <v>20</v>
      </c>
      <c r="D14" s="45">
        <f>_xlfn.XLOOKUP(A14,default_general!$A$2:$A$32,default_general!$D$2:$D$32,"Error",0)</f>
        <v>0.35</v>
      </c>
      <c r="E14" s="40" t="s">
        <v>8</v>
      </c>
    </row>
    <row r="15" spans="1:5" ht="27.6" x14ac:dyDescent="0.3">
      <c r="A15" s="37" t="s">
        <v>21</v>
      </c>
      <c r="B15" s="37" t="s">
        <v>22</v>
      </c>
      <c r="C15" s="37" t="s">
        <v>23</v>
      </c>
      <c r="D15" s="45">
        <f>_xlfn.XLOOKUP(A15,default_general!$A$2:$A$32,default_general!$D$2:$D$32,"Error",0)</f>
        <v>0.65</v>
      </c>
      <c r="E15" s="40" t="s">
        <v>8</v>
      </c>
    </row>
    <row r="16" spans="1:5" ht="27.6" x14ac:dyDescent="0.3">
      <c r="A16" s="37" t="s">
        <v>24</v>
      </c>
      <c r="B16" s="37" t="s">
        <v>25</v>
      </c>
      <c r="C16" s="37" t="s">
        <v>26</v>
      </c>
      <c r="D16" s="45">
        <f>_xlfn.XLOOKUP(A16,default_general!$A$2:$A$32,default_general!$D$2:$D$32,"Error",0)</f>
        <v>0.66</v>
      </c>
      <c r="E16" s="40" t="s">
        <v>27</v>
      </c>
    </row>
    <row r="17" spans="1:5" ht="27.6" x14ac:dyDescent="0.3">
      <c r="A17" s="37" t="s">
        <v>28</v>
      </c>
      <c r="B17" s="37" t="s">
        <v>29</v>
      </c>
      <c r="C17" s="37" t="s">
        <v>30</v>
      </c>
      <c r="D17" s="45">
        <f>_xlfn.XLOOKUP(A17,default_general!$A$2:$A$32,default_general!$D$2:$D$32,"Error",0)</f>
        <v>0.1</v>
      </c>
      <c r="E17" s="40" t="s">
        <v>27</v>
      </c>
    </row>
    <row r="18" spans="1:5" ht="27.6" x14ac:dyDescent="0.3">
      <c r="A18" s="37" t="s">
        <v>31</v>
      </c>
      <c r="B18" s="37" t="s">
        <v>32</v>
      </c>
      <c r="C18" s="37" t="s">
        <v>33</v>
      </c>
      <c r="D18" s="45">
        <f>_xlfn.XLOOKUP(A18,default_general!$A$2:$A$32,default_general!$D$2:$D$32,"Error",0)</f>
        <v>0.24</v>
      </c>
      <c r="E18" s="40" t="s">
        <v>27</v>
      </c>
    </row>
    <row r="19" spans="1:5" ht="41.4" x14ac:dyDescent="0.3">
      <c r="A19" s="37" t="s">
        <v>51</v>
      </c>
      <c r="B19" s="37" t="s">
        <v>52</v>
      </c>
      <c r="C19" s="37" t="s">
        <v>53</v>
      </c>
      <c r="D19" s="38">
        <f>_xlfn.XLOOKUP(A19,default_general!$A$2:$A$32,default_general!$D$2:$D$32,"Error",0)</f>
        <v>10</v>
      </c>
      <c r="E19" s="40" t="s">
        <v>8</v>
      </c>
    </row>
    <row r="20" spans="1:5" ht="27.6" x14ac:dyDescent="0.3">
      <c r="A20" s="37" t="s">
        <v>54</v>
      </c>
      <c r="B20" s="37" t="s">
        <v>55</v>
      </c>
      <c r="C20" s="37" t="s">
        <v>56</v>
      </c>
      <c r="D20" s="38">
        <f>_xlfn.XLOOKUP(A20,default_general!$A$2:$A$32,default_general!$D$2:$D$32,"Error",0)</f>
        <v>2</v>
      </c>
      <c r="E20" s="40" t="s">
        <v>8</v>
      </c>
    </row>
    <row r="21" spans="1:5" ht="41.4" x14ac:dyDescent="0.3">
      <c r="A21" s="37" t="s">
        <v>57</v>
      </c>
      <c r="B21" s="37" t="s">
        <v>58</v>
      </c>
      <c r="C21" s="37" t="s">
        <v>59</v>
      </c>
      <c r="D21" s="38">
        <f>_xlfn.XLOOKUP(A21,default_general!$A$2:$A$32,default_general!$D$2:$D$32,"Error",0)</f>
        <v>6</v>
      </c>
      <c r="E21" s="40" t="s">
        <v>8</v>
      </c>
    </row>
    <row r="22" spans="1:5" ht="15" x14ac:dyDescent="0.3">
      <c r="A22" s="37" t="s">
        <v>60</v>
      </c>
      <c r="B22" s="37" t="s">
        <v>61</v>
      </c>
      <c r="C22" s="37" t="s">
        <v>62</v>
      </c>
      <c r="D22" s="38">
        <f>_xlfn.XLOOKUP(A22,default_general!$A$2:$A$32,default_general!$D$2:$D$32,"Error",0)</f>
        <v>50</v>
      </c>
      <c r="E22" s="41" t="s">
        <v>27</v>
      </c>
    </row>
    <row r="23" spans="1:5" ht="15" x14ac:dyDescent="0.3">
      <c r="A23" s="37" t="s">
        <v>63</v>
      </c>
      <c r="B23" s="37" t="s">
        <v>64</v>
      </c>
      <c r="C23" s="37" t="s">
        <v>65</v>
      </c>
      <c r="D23" s="38">
        <f>_xlfn.XLOOKUP(A23,default_general!$A$2:$A$32,default_general!$D$2:$D$32,"Error",0)</f>
        <v>800</v>
      </c>
      <c r="E23" s="39" t="s">
        <v>27</v>
      </c>
    </row>
    <row r="24" spans="1:5" ht="15" x14ac:dyDescent="0.3">
      <c r="A24" s="37" t="s">
        <v>66</v>
      </c>
      <c r="B24" s="37" t="s">
        <v>67</v>
      </c>
      <c r="C24" s="37" t="s">
        <v>68</v>
      </c>
      <c r="D24" s="38">
        <f>_xlfn.XLOOKUP(A24,default_general!$A$2:$A$32,default_general!$D$2:$D$32,"Error",0)</f>
        <v>600</v>
      </c>
      <c r="E24" s="39" t="s">
        <v>27</v>
      </c>
    </row>
    <row r="25" spans="1:5" ht="27.6" x14ac:dyDescent="0.3">
      <c r="A25" s="37" t="s">
        <v>79</v>
      </c>
      <c r="B25" s="37" t="s">
        <v>80</v>
      </c>
      <c r="C25" s="37" t="s">
        <v>81</v>
      </c>
      <c r="D25" s="38">
        <f>_xlfn.XLOOKUP(A25,default_general!$A$2:$A$32,default_general!$D$2:$D$32,"Error",0)</f>
        <v>20</v>
      </c>
      <c r="E25" s="41" t="s">
        <v>8</v>
      </c>
    </row>
    <row r="26" spans="1:5" ht="27.6" x14ac:dyDescent="0.3">
      <c r="A26" s="37" t="s">
        <v>82</v>
      </c>
      <c r="B26" s="37" t="s">
        <v>83</v>
      </c>
      <c r="C26" s="37" t="s">
        <v>84</v>
      </c>
      <c r="D26" s="38">
        <f>_xlfn.XLOOKUP(A26,default_general!$A$2:$A$32,default_general!$D$2:$D$32,"Error",0)</f>
        <v>80</v>
      </c>
      <c r="E26" s="41" t="s">
        <v>8</v>
      </c>
    </row>
    <row r="27" spans="1:5" ht="27.6" x14ac:dyDescent="0.3">
      <c r="A27" s="37" t="s">
        <v>85</v>
      </c>
      <c r="B27" s="37" t="s">
        <v>86</v>
      </c>
      <c r="C27" s="37" t="s">
        <v>87</v>
      </c>
      <c r="D27" s="38">
        <f>_xlfn.XLOOKUP(A27,default_general!$A$2:$A$32,default_general!$D$2:$D$32,"Error",0)</f>
        <v>80</v>
      </c>
      <c r="E27" s="41" t="s">
        <v>8</v>
      </c>
    </row>
    <row r="28" spans="1:5" ht="27.6" x14ac:dyDescent="0.3">
      <c r="A28" s="37" t="s">
        <v>88</v>
      </c>
      <c r="B28" s="37" t="s">
        <v>89</v>
      </c>
      <c r="C28" s="37" t="s">
        <v>90</v>
      </c>
      <c r="D28" s="38">
        <f>_xlfn.XLOOKUP(A28,default_general!$A$2:$A$32,default_general!$D$2:$D$32,"Error",0)</f>
        <v>5</v>
      </c>
      <c r="E28" s="41" t="s">
        <v>8</v>
      </c>
    </row>
    <row r="29" spans="1:5" ht="27.6" x14ac:dyDescent="0.3">
      <c r="A29" s="37" t="s">
        <v>91</v>
      </c>
      <c r="B29" s="37" t="s">
        <v>92</v>
      </c>
      <c r="C29" s="37" t="s">
        <v>93</v>
      </c>
      <c r="D29" s="38">
        <f>_xlfn.XLOOKUP(A29,default_general!$A$2:$A$32,default_general!$D$2:$D$32,"Error",0)</f>
        <v>20</v>
      </c>
      <c r="E29" s="41" t="s">
        <v>8</v>
      </c>
    </row>
    <row r="30" spans="1:5" ht="27.6" x14ac:dyDescent="0.3">
      <c r="A30" s="37" t="s">
        <v>94</v>
      </c>
      <c r="B30" s="37" t="s">
        <v>95</v>
      </c>
      <c r="C30" s="37" t="s">
        <v>96</v>
      </c>
      <c r="D30" s="38">
        <f>_xlfn.XLOOKUP(A30,default_general!$A$2:$A$32,default_general!$D$2:$D$32,"Error",0)</f>
        <v>5</v>
      </c>
      <c r="E30" s="41" t="s">
        <v>8</v>
      </c>
    </row>
    <row r="31" spans="1:5" ht="27.6" x14ac:dyDescent="0.3">
      <c r="A31" s="37" t="s">
        <v>97</v>
      </c>
      <c r="B31" s="37" t="s">
        <v>98</v>
      </c>
      <c r="C31" s="37" t="s">
        <v>99</v>
      </c>
      <c r="D31" s="38">
        <f>_xlfn.XLOOKUP(A31,default_general!$A$2:$A$32,default_general!$D$2:$D$32,"Error",0)</f>
        <v>10</v>
      </c>
      <c r="E31" s="39" t="s">
        <v>100</v>
      </c>
    </row>
    <row r="32" spans="1:5" ht="27.6" x14ac:dyDescent="0.3">
      <c r="A32" s="40" t="s">
        <v>101</v>
      </c>
      <c r="B32" s="37" t="s">
        <v>102</v>
      </c>
      <c r="C32" s="37" t="s">
        <v>103</v>
      </c>
      <c r="D32" s="38">
        <f>_xlfn.XLOOKUP(A32,default_general!$A$2:$A$32,default_general!$D$2:$D$32,"Error",0)</f>
        <v>12</v>
      </c>
      <c r="E32" s="39" t="s">
        <v>104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40EAA-98EC-40F6-817C-E7CACD5BDB7F}">
  <dimension ref="A1:E32"/>
  <sheetViews>
    <sheetView zoomScale="70" zoomScaleNormal="70" workbookViewId="0">
      <pane ySplit="1" topLeftCell="A2" activePane="bottomLeft" state="frozen"/>
      <selection pane="bottomLeft" activeCell="B13" sqref="B13"/>
    </sheetView>
  </sheetViews>
  <sheetFormatPr defaultRowHeight="14.4" x14ac:dyDescent="0.3"/>
  <cols>
    <col min="1" max="1" width="48" customWidth="1"/>
    <col min="2" max="2" width="80" customWidth="1"/>
    <col min="3" max="3" width="18" customWidth="1"/>
    <col min="4" max="4" width="14" customWidth="1"/>
    <col min="5" max="5" width="89.44140625" customWidth="1"/>
  </cols>
  <sheetData>
    <row r="1" spans="1:5" x14ac:dyDescent="0.3">
      <c r="A1" s="25" t="s">
        <v>0</v>
      </c>
      <c r="B1" s="25" t="s">
        <v>1</v>
      </c>
      <c r="C1" s="25" t="s">
        <v>2</v>
      </c>
      <c r="D1" s="25" t="s">
        <v>3</v>
      </c>
      <c r="E1" s="12" t="s">
        <v>4</v>
      </c>
    </row>
    <row r="2" spans="1:5" ht="41.4" x14ac:dyDescent="0.3">
      <c r="A2" s="26" t="s">
        <v>9</v>
      </c>
      <c r="B2" s="26" t="s">
        <v>10</v>
      </c>
      <c r="C2" s="26" t="s">
        <v>11</v>
      </c>
      <c r="D2" s="27">
        <v>5</v>
      </c>
      <c r="E2" s="26" t="s">
        <v>8</v>
      </c>
    </row>
    <row r="3" spans="1:5" ht="27.6" x14ac:dyDescent="0.3">
      <c r="A3" s="29" t="s">
        <v>34</v>
      </c>
      <c r="B3" s="29" t="s">
        <v>35</v>
      </c>
      <c r="C3" s="29" t="s">
        <v>36</v>
      </c>
      <c r="D3" s="30">
        <v>0.85</v>
      </c>
      <c r="E3" s="43" t="s">
        <v>8</v>
      </c>
    </row>
    <row r="4" spans="1:5" ht="15" x14ac:dyDescent="0.3">
      <c r="A4" s="29" t="s">
        <v>37</v>
      </c>
      <c r="B4" s="29" t="s">
        <v>38</v>
      </c>
      <c r="C4" s="29" t="s">
        <v>39</v>
      </c>
      <c r="D4" s="30">
        <v>0.15</v>
      </c>
      <c r="E4" s="43" t="s">
        <v>40</v>
      </c>
    </row>
    <row r="5" spans="1:5" ht="15" x14ac:dyDescent="0.3">
      <c r="A5" s="26" t="s">
        <v>41</v>
      </c>
      <c r="B5" s="26" t="s">
        <v>42</v>
      </c>
      <c r="C5" s="26" t="s">
        <v>43</v>
      </c>
      <c r="D5" s="27">
        <v>15000</v>
      </c>
      <c r="E5" s="44" t="s">
        <v>44</v>
      </c>
    </row>
    <row r="6" spans="1:5" ht="15" x14ac:dyDescent="0.3">
      <c r="A6" s="26" t="s">
        <v>45</v>
      </c>
      <c r="B6" s="26" t="s">
        <v>46</v>
      </c>
      <c r="C6" s="26" t="s">
        <v>47</v>
      </c>
      <c r="D6" s="27">
        <v>2500</v>
      </c>
      <c r="E6" s="44" t="s">
        <v>44</v>
      </c>
    </row>
    <row r="7" spans="1:5" ht="15" x14ac:dyDescent="0.3">
      <c r="A7" s="26" t="s">
        <v>48</v>
      </c>
      <c r="B7" s="26" t="s">
        <v>49</v>
      </c>
      <c r="C7" s="26" t="s">
        <v>50</v>
      </c>
      <c r="D7" s="27">
        <v>2000</v>
      </c>
      <c r="E7" s="44" t="s">
        <v>44</v>
      </c>
    </row>
    <row r="8" spans="1:5" ht="27.6" x14ac:dyDescent="0.3">
      <c r="A8" s="33" t="s">
        <v>69</v>
      </c>
      <c r="B8" s="34" t="s">
        <v>70</v>
      </c>
      <c r="C8" s="33" t="s">
        <v>71</v>
      </c>
      <c r="D8" s="35">
        <v>0.6</v>
      </c>
      <c r="E8" s="36" t="s">
        <v>72</v>
      </c>
    </row>
    <row r="9" spans="1:5" ht="27.6" x14ac:dyDescent="0.3">
      <c r="A9" s="33" t="s">
        <v>73</v>
      </c>
      <c r="B9" s="34" t="s">
        <v>74</v>
      </c>
      <c r="C9" s="33" t="s">
        <v>75</v>
      </c>
      <c r="D9" s="35">
        <v>0.25</v>
      </c>
      <c r="E9" s="36" t="s">
        <v>72</v>
      </c>
    </row>
    <row r="10" spans="1:5" ht="27.6" x14ac:dyDescent="0.3">
      <c r="A10" s="33" t="s">
        <v>76</v>
      </c>
      <c r="B10" s="34" t="s">
        <v>77</v>
      </c>
      <c r="C10" s="33" t="s">
        <v>78</v>
      </c>
      <c r="D10" s="35">
        <v>0.2</v>
      </c>
      <c r="E10" s="36" t="s">
        <v>72</v>
      </c>
    </row>
    <row r="11" spans="1:5" ht="27.6" x14ac:dyDescent="0.3">
      <c r="A11" s="37" t="s">
        <v>5</v>
      </c>
      <c r="B11" s="37" t="s">
        <v>6</v>
      </c>
      <c r="C11" s="37" t="s">
        <v>7</v>
      </c>
      <c r="D11" s="38">
        <f>_xlfn.XLOOKUP(A11,default_general!$A$2:$A$32,default_general!$D$2:$D$32,"Error",0)</f>
        <v>350</v>
      </c>
      <c r="E11" s="37" t="s">
        <v>8</v>
      </c>
    </row>
    <row r="12" spans="1:5" ht="27.6" x14ac:dyDescent="0.3">
      <c r="A12" s="40" t="s">
        <v>12</v>
      </c>
      <c r="B12" s="40" t="s">
        <v>13</v>
      </c>
      <c r="C12" s="40" t="s">
        <v>14</v>
      </c>
      <c r="D12" s="38">
        <f>_xlfn.XLOOKUP(A12,default_general!$A$2:$A$32,default_general!$D$2:$D$32,"Error",0)</f>
        <v>1</v>
      </c>
      <c r="E12" s="40"/>
    </row>
    <row r="13" spans="1:5" ht="41.4" x14ac:dyDescent="0.3">
      <c r="A13" s="37" t="s">
        <v>15</v>
      </c>
      <c r="B13" s="37" t="s">
        <v>16</v>
      </c>
      <c r="C13" s="37" t="s">
        <v>17</v>
      </c>
      <c r="D13" s="45">
        <f>_xlfn.XLOOKUP(A13,default_general!$A$2:$A$32,default_general!$D$2:$D$32,"Error",0)</f>
        <v>0.85</v>
      </c>
      <c r="E13" s="40" t="s">
        <v>8</v>
      </c>
    </row>
    <row r="14" spans="1:5" ht="27.6" x14ac:dyDescent="0.3">
      <c r="A14" s="37" t="s">
        <v>18</v>
      </c>
      <c r="B14" s="37" t="s">
        <v>19</v>
      </c>
      <c r="C14" s="37" t="s">
        <v>20</v>
      </c>
      <c r="D14" s="45">
        <f>_xlfn.XLOOKUP(A14,default_general!$A$2:$A$32,default_general!$D$2:$D$32,"Error",0)</f>
        <v>0.35</v>
      </c>
      <c r="E14" s="40" t="s">
        <v>8</v>
      </c>
    </row>
    <row r="15" spans="1:5" ht="27.6" x14ac:dyDescent="0.3">
      <c r="A15" s="37" t="s">
        <v>21</v>
      </c>
      <c r="B15" s="37" t="s">
        <v>22</v>
      </c>
      <c r="C15" s="37" t="s">
        <v>23</v>
      </c>
      <c r="D15" s="45">
        <f>_xlfn.XLOOKUP(A15,default_general!$A$2:$A$32,default_general!$D$2:$D$32,"Error",0)</f>
        <v>0.65</v>
      </c>
      <c r="E15" s="40" t="s">
        <v>8</v>
      </c>
    </row>
    <row r="16" spans="1:5" ht="27.6" x14ac:dyDescent="0.3">
      <c r="A16" s="37" t="s">
        <v>24</v>
      </c>
      <c r="B16" s="37" t="s">
        <v>25</v>
      </c>
      <c r="C16" s="37" t="s">
        <v>26</v>
      </c>
      <c r="D16" s="45">
        <f>_xlfn.XLOOKUP(A16,default_general!$A$2:$A$32,default_general!$D$2:$D$32,"Error",0)</f>
        <v>0.66</v>
      </c>
      <c r="E16" s="40" t="s">
        <v>27</v>
      </c>
    </row>
    <row r="17" spans="1:5" ht="27.6" x14ac:dyDescent="0.3">
      <c r="A17" s="37" t="s">
        <v>28</v>
      </c>
      <c r="B17" s="37" t="s">
        <v>29</v>
      </c>
      <c r="C17" s="37" t="s">
        <v>30</v>
      </c>
      <c r="D17" s="45">
        <f>_xlfn.XLOOKUP(A17,default_general!$A$2:$A$32,default_general!$D$2:$D$32,"Error",0)</f>
        <v>0.1</v>
      </c>
      <c r="E17" s="40" t="s">
        <v>27</v>
      </c>
    </row>
    <row r="18" spans="1:5" ht="27.6" x14ac:dyDescent="0.3">
      <c r="A18" s="37" t="s">
        <v>31</v>
      </c>
      <c r="B18" s="37" t="s">
        <v>32</v>
      </c>
      <c r="C18" s="37" t="s">
        <v>33</v>
      </c>
      <c r="D18" s="45">
        <f>_xlfn.XLOOKUP(A18,default_general!$A$2:$A$32,default_general!$D$2:$D$32,"Error",0)</f>
        <v>0.24</v>
      </c>
      <c r="E18" s="40" t="s">
        <v>27</v>
      </c>
    </row>
    <row r="19" spans="1:5" ht="41.4" x14ac:dyDescent="0.3">
      <c r="A19" s="37" t="s">
        <v>51</v>
      </c>
      <c r="B19" s="37" t="s">
        <v>52</v>
      </c>
      <c r="C19" s="37" t="s">
        <v>53</v>
      </c>
      <c r="D19" s="38">
        <f>_xlfn.XLOOKUP(A19,default_general!$A$2:$A$32,default_general!$D$2:$D$32,"Error",0)</f>
        <v>10</v>
      </c>
      <c r="E19" s="40" t="s">
        <v>8</v>
      </c>
    </row>
    <row r="20" spans="1:5" ht="27.6" x14ac:dyDescent="0.3">
      <c r="A20" s="37" t="s">
        <v>54</v>
      </c>
      <c r="B20" s="37" t="s">
        <v>55</v>
      </c>
      <c r="C20" s="37" t="s">
        <v>56</v>
      </c>
      <c r="D20" s="38">
        <f>_xlfn.XLOOKUP(A20,default_general!$A$2:$A$32,default_general!$D$2:$D$32,"Error",0)</f>
        <v>2</v>
      </c>
      <c r="E20" s="40" t="s">
        <v>8</v>
      </c>
    </row>
    <row r="21" spans="1:5" ht="41.4" x14ac:dyDescent="0.3">
      <c r="A21" s="37" t="s">
        <v>57</v>
      </c>
      <c r="B21" s="37" t="s">
        <v>58</v>
      </c>
      <c r="C21" s="37" t="s">
        <v>59</v>
      </c>
      <c r="D21" s="38">
        <f>_xlfn.XLOOKUP(A21,default_general!$A$2:$A$32,default_general!$D$2:$D$32,"Error",0)</f>
        <v>6</v>
      </c>
      <c r="E21" s="40" t="s">
        <v>8</v>
      </c>
    </row>
    <row r="22" spans="1:5" ht="15" x14ac:dyDescent="0.3">
      <c r="A22" s="37" t="s">
        <v>60</v>
      </c>
      <c r="B22" s="37" t="s">
        <v>61</v>
      </c>
      <c r="C22" s="37" t="s">
        <v>62</v>
      </c>
      <c r="D22" s="38">
        <f>_xlfn.XLOOKUP(A22,default_general!$A$2:$A$32,default_general!$D$2:$D$32,"Error",0)</f>
        <v>50</v>
      </c>
      <c r="E22" s="41" t="s">
        <v>27</v>
      </c>
    </row>
    <row r="23" spans="1:5" ht="15" x14ac:dyDescent="0.3">
      <c r="A23" s="37" t="s">
        <v>63</v>
      </c>
      <c r="B23" s="37" t="s">
        <v>64</v>
      </c>
      <c r="C23" s="37" t="s">
        <v>65</v>
      </c>
      <c r="D23" s="38">
        <f>_xlfn.XLOOKUP(A23,default_general!$A$2:$A$32,default_general!$D$2:$D$32,"Error",0)</f>
        <v>800</v>
      </c>
      <c r="E23" s="39" t="s">
        <v>27</v>
      </c>
    </row>
    <row r="24" spans="1:5" ht="15" x14ac:dyDescent="0.3">
      <c r="A24" s="37" t="s">
        <v>66</v>
      </c>
      <c r="B24" s="37" t="s">
        <v>67</v>
      </c>
      <c r="C24" s="37" t="s">
        <v>68</v>
      </c>
      <c r="D24" s="38">
        <f>_xlfn.XLOOKUP(A24,default_general!$A$2:$A$32,default_general!$D$2:$D$32,"Error",0)</f>
        <v>600</v>
      </c>
      <c r="E24" s="39" t="s">
        <v>27</v>
      </c>
    </row>
    <row r="25" spans="1:5" ht="27.6" x14ac:dyDescent="0.3">
      <c r="A25" s="37" t="s">
        <v>79</v>
      </c>
      <c r="B25" s="37" t="s">
        <v>80</v>
      </c>
      <c r="C25" s="37" t="s">
        <v>81</v>
      </c>
      <c r="D25" s="38">
        <f>_xlfn.XLOOKUP(A25,default_general!$A$2:$A$32,default_general!$D$2:$D$32,"Error",0)</f>
        <v>20</v>
      </c>
      <c r="E25" s="41" t="s">
        <v>8</v>
      </c>
    </row>
    <row r="26" spans="1:5" ht="27.6" x14ac:dyDescent="0.3">
      <c r="A26" s="37" t="s">
        <v>82</v>
      </c>
      <c r="B26" s="37" t="s">
        <v>83</v>
      </c>
      <c r="C26" s="37" t="s">
        <v>84</v>
      </c>
      <c r="D26" s="38">
        <f>_xlfn.XLOOKUP(A26,default_general!$A$2:$A$32,default_general!$D$2:$D$32,"Error",0)</f>
        <v>80</v>
      </c>
      <c r="E26" s="41" t="s">
        <v>8</v>
      </c>
    </row>
    <row r="27" spans="1:5" ht="27.6" x14ac:dyDescent="0.3">
      <c r="A27" s="37" t="s">
        <v>85</v>
      </c>
      <c r="B27" s="37" t="s">
        <v>86</v>
      </c>
      <c r="C27" s="37" t="s">
        <v>87</v>
      </c>
      <c r="D27" s="38">
        <f>_xlfn.XLOOKUP(A27,default_general!$A$2:$A$32,default_general!$D$2:$D$32,"Error",0)</f>
        <v>80</v>
      </c>
      <c r="E27" s="41" t="s">
        <v>8</v>
      </c>
    </row>
    <row r="28" spans="1:5" ht="27.6" x14ac:dyDescent="0.3">
      <c r="A28" s="37" t="s">
        <v>88</v>
      </c>
      <c r="B28" s="37" t="s">
        <v>89</v>
      </c>
      <c r="C28" s="37" t="s">
        <v>90</v>
      </c>
      <c r="D28" s="38">
        <f>_xlfn.XLOOKUP(A28,default_general!$A$2:$A$32,default_general!$D$2:$D$32,"Error",0)</f>
        <v>5</v>
      </c>
      <c r="E28" s="41" t="s">
        <v>8</v>
      </c>
    </row>
    <row r="29" spans="1:5" ht="27.6" x14ac:dyDescent="0.3">
      <c r="A29" s="37" t="s">
        <v>91</v>
      </c>
      <c r="B29" s="37" t="s">
        <v>92</v>
      </c>
      <c r="C29" s="37" t="s">
        <v>93</v>
      </c>
      <c r="D29" s="38">
        <f>_xlfn.XLOOKUP(A29,default_general!$A$2:$A$32,default_general!$D$2:$D$32,"Error",0)</f>
        <v>20</v>
      </c>
      <c r="E29" s="41" t="s">
        <v>8</v>
      </c>
    </row>
    <row r="30" spans="1:5" ht="27.6" x14ac:dyDescent="0.3">
      <c r="A30" s="37" t="s">
        <v>94</v>
      </c>
      <c r="B30" s="37" t="s">
        <v>95</v>
      </c>
      <c r="C30" s="37" t="s">
        <v>96</v>
      </c>
      <c r="D30" s="38">
        <f>_xlfn.XLOOKUP(A30,default_general!$A$2:$A$32,default_general!$D$2:$D$32,"Error",0)</f>
        <v>5</v>
      </c>
      <c r="E30" s="41" t="s">
        <v>8</v>
      </c>
    </row>
    <row r="31" spans="1:5" ht="27.6" x14ac:dyDescent="0.3">
      <c r="A31" s="37" t="s">
        <v>97</v>
      </c>
      <c r="B31" s="37" t="s">
        <v>98</v>
      </c>
      <c r="C31" s="37" t="s">
        <v>99</v>
      </c>
      <c r="D31" s="38">
        <f>_xlfn.XLOOKUP(A31,default_general!$A$2:$A$32,default_general!$D$2:$D$32,"Error",0)</f>
        <v>10</v>
      </c>
      <c r="E31" s="39" t="s">
        <v>100</v>
      </c>
    </row>
    <row r="32" spans="1:5" ht="27.6" x14ac:dyDescent="0.3">
      <c r="A32" s="40" t="s">
        <v>101</v>
      </c>
      <c r="B32" s="37" t="s">
        <v>102</v>
      </c>
      <c r="C32" s="37" t="s">
        <v>103</v>
      </c>
      <c r="D32" s="38">
        <f>_xlfn.XLOOKUP(A32,default_general!$A$2:$A$32,default_general!$D$2:$D$32,"Error",0)</f>
        <v>12</v>
      </c>
      <c r="E32" s="39" t="s">
        <v>104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05BA5-D6DA-4CE3-8907-A1E7184D4C76}">
  <dimension ref="A1:E32"/>
  <sheetViews>
    <sheetView zoomScale="70" zoomScaleNormal="70" workbookViewId="0">
      <pane ySplit="1" topLeftCell="A2" activePane="bottomLeft" state="frozen"/>
      <selection pane="bottomLeft" activeCell="E29" sqref="E29"/>
    </sheetView>
  </sheetViews>
  <sheetFormatPr defaultRowHeight="14.4" x14ac:dyDescent="0.3"/>
  <cols>
    <col min="1" max="1" width="48" customWidth="1"/>
    <col min="2" max="2" width="80" customWidth="1"/>
    <col min="3" max="3" width="18" customWidth="1"/>
    <col min="4" max="4" width="14" customWidth="1"/>
    <col min="5" max="5" width="105.5546875" customWidth="1"/>
  </cols>
  <sheetData>
    <row r="1" spans="1:5" ht="24.6" customHeight="1" x14ac:dyDescent="0.3">
      <c r="A1" s="25" t="s">
        <v>0</v>
      </c>
      <c r="B1" s="25" t="s">
        <v>1</v>
      </c>
      <c r="C1" s="25" t="s">
        <v>2</v>
      </c>
      <c r="D1" s="25" t="s">
        <v>3</v>
      </c>
      <c r="E1" s="12" t="s">
        <v>4</v>
      </c>
    </row>
    <row r="2" spans="1:5" ht="41.4" x14ac:dyDescent="0.3">
      <c r="A2" s="26" t="s">
        <v>9</v>
      </c>
      <c r="B2" s="26" t="s">
        <v>10</v>
      </c>
      <c r="C2" s="26" t="s">
        <v>11</v>
      </c>
      <c r="D2" s="27">
        <v>5</v>
      </c>
      <c r="E2" s="28" t="s">
        <v>8</v>
      </c>
    </row>
    <row r="3" spans="1:5" ht="27.6" x14ac:dyDescent="0.3">
      <c r="A3" s="29" t="s">
        <v>34</v>
      </c>
      <c r="B3" s="29" t="s">
        <v>35</v>
      </c>
      <c r="C3" s="29" t="s">
        <v>36</v>
      </c>
      <c r="D3" s="30">
        <v>0.85</v>
      </c>
      <c r="E3" s="31" t="s">
        <v>8</v>
      </c>
    </row>
    <row r="4" spans="1:5" ht="15" x14ac:dyDescent="0.3">
      <c r="A4" s="29" t="s">
        <v>37</v>
      </c>
      <c r="B4" s="29" t="s">
        <v>38</v>
      </c>
      <c r="C4" s="29" t="s">
        <v>39</v>
      </c>
      <c r="D4" s="30">
        <v>0.15</v>
      </c>
      <c r="E4" s="31" t="s">
        <v>40</v>
      </c>
    </row>
    <row r="5" spans="1:5" ht="15" x14ac:dyDescent="0.3">
      <c r="A5" s="26" t="s">
        <v>41</v>
      </c>
      <c r="B5" s="26" t="s">
        <v>42</v>
      </c>
      <c r="C5" s="26" t="s">
        <v>43</v>
      </c>
      <c r="D5" s="27">
        <v>15000</v>
      </c>
      <c r="E5" s="32" t="s">
        <v>44</v>
      </c>
    </row>
    <row r="6" spans="1:5" ht="15" x14ac:dyDescent="0.3">
      <c r="A6" s="26" t="s">
        <v>45</v>
      </c>
      <c r="B6" s="26" t="s">
        <v>46</v>
      </c>
      <c r="C6" s="26" t="s">
        <v>47</v>
      </c>
      <c r="D6" s="27">
        <v>2500</v>
      </c>
      <c r="E6" s="32" t="s">
        <v>44</v>
      </c>
    </row>
    <row r="7" spans="1:5" ht="15" x14ac:dyDescent="0.3">
      <c r="A7" s="26" t="s">
        <v>48</v>
      </c>
      <c r="B7" s="26" t="s">
        <v>49</v>
      </c>
      <c r="C7" s="26" t="s">
        <v>50</v>
      </c>
      <c r="D7" s="27">
        <v>2000</v>
      </c>
      <c r="E7" s="32" t="s">
        <v>44</v>
      </c>
    </row>
    <row r="8" spans="1:5" ht="27.6" x14ac:dyDescent="0.3">
      <c r="A8" s="33" t="s">
        <v>69</v>
      </c>
      <c r="B8" s="34" t="s">
        <v>70</v>
      </c>
      <c r="C8" s="33" t="s">
        <v>71</v>
      </c>
      <c r="D8" s="35">
        <v>0.6</v>
      </c>
      <c r="E8" s="36" t="s">
        <v>72</v>
      </c>
    </row>
    <row r="9" spans="1:5" ht="27.6" x14ac:dyDescent="0.3">
      <c r="A9" s="33" t="s">
        <v>73</v>
      </c>
      <c r="B9" s="34" t="s">
        <v>74</v>
      </c>
      <c r="C9" s="33" t="s">
        <v>75</v>
      </c>
      <c r="D9" s="35">
        <v>0.25</v>
      </c>
      <c r="E9" s="36" t="s">
        <v>72</v>
      </c>
    </row>
    <row r="10" spans="1:5" ht="27.6" x14ac:dyDescent="0.3">
      <c r="A10" s="33" t="s">
        <v>76</v>
      </c>
      <c r="B10" s="34" t="s">
        <v>77</v>
      </c>
      <c r="C10" s="33" t="s">
        <v>78</v>
      </c>
      <c r="D10" s="35">
        <v>0.2</v>
      </c>
      <c r="E10" s="36" t="s">
        <v>72</v>
      </c>
    </row>
    <row r="11" spans="1:5" ht="27.6" x14ac:dyDescent="0.3">
      <c r="A11" s="37" t="s">
        <v>5</v>
      </c>
      <c r="B11" s="37" t="s">
        <v>6</v>
      </c>
      <c r="C11" s="37" t="s">
        <v>7</v>
      </c>
      <c r="D11" s="24">
        <f>_xlfn.XLOOKUP(A11,default_general!$A$2:$A$32,default_general!$D$2:$D$32,"Error",0)</f>
        <v>350</v>
      </c>
      <c r="E11" s="39" t="s">
        <v>8</v>
      </c>
    </row>
    <row r="12" spans="1:5" ht="27.6" x14ac:dyDescent="0.3">
      <c r="A12" s="40" t="s">
        <v>12</v>
      </c>
      <c r="B12" s="40" t="s">
        <v>13</v>
      </c>
      <c r="C12" s="40" t="s">
        <v>14</v>
      </c>
      <c r="D12" s="24">
        <f>_xlfn.XLOOKUP(A12,default_general!$A$2:$A$32,default_general!$D$2:$D$32,"Error",0)</f>
        <v>1</v>
      </c>
      <c r="E12" s="41"/>
    </row>
    <row r="13" spans="1:5" ht="41.4" x14ac:dyDescent="0.3">
      <c r="A13" s="37" t="s">
        <v>15</v>
      </c>
      <c r="B13" s="37" t="s">
        <v>16</v>
      </c>
      <c r="C13" s="37" t="s">
        <v>17</v>
      </c>
      <c r="D13" s="42">
        <f>_xlfn.XLOOKUP(A13,default_general!$A$2:$A$32,default_general!$D$2:$D$32,"Error",0)</f>
        <v>0.85</v>
      </c>
      <c r="E13" s="41" t="s">
        <v>8</v>
      </c>
    </row>
    <row r="14" spans="1:5" ht="27.6" x14ac:dyDescent="0.3">
      <c r="A14" s="37" t="s">
        <v>18</v>
      </c>
      <c r="B14" s="37" t="s">
        <v>19</v>
      </c>
      <c r="C14" s="37" t="s">
        <v>20</v>
      </c>
      <c r="D14" s="42">
        <f>_xlfn.XLOOKUP(A14,default_general!$A$2:$A$32,default_general!$D$2:$D$32,"Error",0)</f>
        <v>0.35</v>
      </c>
      <c r="E14" s="41" t="s">
        <v>8</v>
      </c>
    </row>
    <row r="15" spans="1:5" ht="27.6" x14ac:dyDescent="0.3">
      <c r="A15" s="37" t="s">
        <v>21</v>
      </c>
      <c r="B15" s="37" t="s">
        <v>22</v>
      </c>
      <c r="C15" s="37" t="s">
        <v>23</v>
      </c>
      <c r="D15" s="42">
        <f>_xlfn.XLOOKUP(A15,default_general!$A$2:$A$32,default_general!$D$2:$D$32,"Error",0)</f>
        <v>0.65</v>
      </c>
      <c r="E15" s="41" t="s">
        <v>8</v>
      </c>
    </row>
    <row r="16" spans="1:5" ht="27.6" x14ac:dyDescent="0.3">
      <c r="A16" s="37" t="s">
        <v>24</v>
      </c>
      <c r="B16" s="37" t="s">
        <v>25</v>
      </c>
      <c r="C16" s="37" t="s">
        <v>26</v>
      </c>
      <c r="D16" s="42">
        <f>_xlfn.XLOOKUP(A16,default_general!$A$2:$A$32,default_general!$D$2:$D$32,"Error",0)</f>
        <v>0.66</v>
      </c>
      <c r="E16" s="41" t="s">
        <v>27</v>
      </c>
    </row>
    <row r="17" spans="1:5" ht="27.6" x14ac:dyDescent="0.3">
      <c r="A17" s="37" t="s">
        <v>28</v>
      </c>
      <c r="B17" s="37" t="s">
        <v>29</v>
      </c>
      <c r="C17" s="37" t="s">
        <v>30</v>
      </c>
      <c r="D17" s="42">
        <f>_xlfn.XLOOKUP(A17,default_general!$A$2:$A$32,default_general!$D$2:$D$32,"Error",0)</f>
        <v>0.1</v>
      </c>
      <c r="E17" s="41" t="s">
        <v>27</v>
      </c>
    </row>
    <row r="18" spans="1:5" ht="27.6" x14ac:dyDescent="0.3">
      <c r="A18" s="37" t="s">
        <v>31</v>
      </c>
      <c r="B18" s="37" t="s">
        <v>32</v>
      </c>
      <c r="C18" s="37" t="s">
        <v>33</v>
      </c>
      <c r="D18" s="42">
        <f>_xlfn.XLOOKUP(A18,default_general!$A$2:$A$32,default_general!$D$2:$D$32,"Error",0)</f>
        <v>0.24</v>
      </c>
      <c r="E18" s="41" t="s">
        <v>27</v>
      </c>
    </row>
    <row r="19" spans="1:5" ht="41.4" x14ac:dyDescent="0.3">
      <c r="A19" s="37" t="s">
        <v>51</v>
      </c>
      <c r="B19" s="37" t="s">
        <v>52</v>
      </c>
      <c r="C19" s="37" t="s">
        <v>53</v>
      </c>
      <c r="D19" s="24">
        <f>_xlfn.XLOOKUP(A19,default_general!$A$2:$A$32,default_general!$D$2:$D$32,"Error",0)</f>
        <v>10</v>
      </c>
      <c r="E19" s="41" t="s">
        <v>8</v>
      </c>
    </row>
    <row r="20" spans="1:5" ht="27.6" x14ac:dyDescent="0.3">
      <c r="A20" s="37" t="s">
        <v>54</v>
      </c>
      <c r="B20" s="37" t="s">
        <v>55</v>
      </c>
      <c r="C20" s="37" t="s">
        <v>56</v>
      </c>
      <c r="D20" s="24">
        <f>_xlfn.XLOOKUP(A20,default_general!$A$2:$A$32,default_general!$D$2:$D$32,"Error",0)</f>
        <v>2</v>
      </c>
      <c r="E20" s="41" t="s">
        <v>8</v>
      </c>
    </row>
    <row r="21" spans="1:5" ht="41.4" x14ac:dyDescent="0.3">
      <c r="A21" s="37" t="s">
        <v>57</v>
      </c>
      <c r="B21" s="37" t="s">
        <v>58</v>
      </c>
      <c r="C21" s="37" t="s">
        <v>59</v>
      </c>
      <c r="D21" s="24">
        <f>_xlfn.XLOOKUP(A21,default_general!$A$2:$A$32,default_general!$D$2:$D$32,"Error",0)</f>
        <v>6</v>
      </c>
      <c r="E21" s="41" t="s">
        <v>8</v>
      </c>
    </row>
    <row r="22" spans="1:5" ht="15" x14ac:dyDescent="0.3">
      <c r="A22" s="37" t="s">
        <v>60</v>
      </c>
      <c r="B22" s="37" t="s">
        <v>61</v>
      </c>
      <c r="C22" s="37" t="s">
        <v>62</v>
      </c>
      <c r="D22" s="24">
        <f>_xlfn.XLOOKUP(A22,default_general!$A$2:$A$32,default_general!$D$2:$D$32,"Error",0)</f>
        <v>50</v>
      </c>
      <c r="E22" s="41" t="s">
        <v>27</v>
      </c>
    </row>
    <row r="23" spans="1:5" ht="15" x14ac:dyDescent="0.3">
      <c r="A23" s="37" t="s">
        <v>63</v>
      </c>
      <c r="B23" s="37" t="s">
        <v>64</v>
      </c>
      <c r="C23" s="37" t="s">
        <v>65</v>
      </c>
      <c r="D23" s="24">
        <f>_xlfn.XLOOKUP(A23,default_general!$A$2:$A$32,default_general!$D$2:$D$32,"Error",0)</f>
        <v>800</v>
      </c>
      <c r="E23" s="39" t="s">
        <v>27</v>
      </c>
    </row>
    <row r="24" spans="1:5" ht="15" x14ac:dyDescent="0.3">
      <c r="A24" s="37" t="s">
        <v>66</v>
      </c>
      <c r="B24" s="37" t="s">
        <v>67</v>
      </c>
      <c r="C24" s="37" t="s">
        <v>68</v>
      </c>
      <c r="D24" s="24">
        <f>_xlfn.XLOOKUP(A24,default_general!$A$2:$A$32,default_general!$D$2:$D$32,"Error",0)</f>
        <v>600</v>
      </c>
      <c r="E24" s="39" t="s">
        <v>27</v>
      </c>
    </row>
    <row r="25" spans="1:5" ht="27.6" x14ac:dyDescent="0.3">
      <c r="A25" s="37" t="s">
        <v>79</v>
      </c>
      <c r="B25" s="37" t="s">
        <v>80</v>
      </c>
      <c r="C25" s="37" t="s">
        <v>81</v>
      </c>
      <c r="D25" s="24">
        <f>_xlfn.XLOOKUP(A25,default_general!$A$2:$A$32,default_general!$D$2:$D$32,"Error",0)</f>
        <v>20</v>
      </c>
      <c r="E25" s="41" t="s">
        <v>8</v>
      </c>
    </row>
    <row r="26" spans="1:5" ht="27.6" x14ac:dyDescent="0.3">
      <c r="A26" s="37" t="s">
        <v>82</v>
      </c>
      <c r="B26" s="37" t="s">
        <v>83</v>
      </c>
      <c r="C26" s="37" t="s">
        <v>84</v>
      </c>
      <c r="D26" s="24">
        <f>_xlfn.XLOOKUP(A26,default_general!$A$2:$A$32,default_general!$D$2:$D$32,"Error",0)</f>
        <v>80</v>
      </c>
      <c r="E26" s="41" t="s">
        <v>8</v>
      </c>
    </row>
    <row r="27" spans="1:5" ht="27.6" x14ac:dyDescent="0.3">
      <c r="A27" s="37" t="s">
        <v>85</v>
      </c>
      <c r="B27" s="37" t="s">
        <v>86</v>
      </c>
      <c r="C27" s="37" t="s">
        <v>87</v>
      </c>
      <c r="D27" s="24">
        <f>_xlfn.XLOOKUP(A27,default_general!$A$2:$A$32,default_general!$D$2:$D$32,"Error",0)</f>
        <v>80</v>
      </c>
      <c r="E27" s="41" t="s">
        <v>8</v>
      </c>
    </row>
    <row r="28" spans="1:5" ht="27.6" x14ac:dyDescent="0.3">
      <c r="A28" s="37" t="s">
        <v>88</v>
      </c>
      <c r="B28" s="37" t="s">
        <v>89</v>
      </c>
      <c r="C28" s="37" t="s">
        <v>90</v>
      </c>
      <c r="D28" s="24">
        <f>_xlfn.XLOOKUP(A28,default_general!$A$2:$A$32,default_general!$D$2:$D$32,"Error",0)</f>
        <v>5</v>
      </c>
      <c r="E28" s="41" t="s">
        <v>8</v>
      </c>
    </row>
    <row r="29" spans="1:5" ht="27.6" x14ac:dyDescent="0.3">
      <c r="A29" s="37" t="s">
        <v>91</v>
      </c>
      <c r="B29" s="37" t="s">
        <v>92</v>
      </c>
      <c r="C29" s="37" t="s">
        <v>93</v>
      </c>
      <c r="D29" s="24">
        <f>_xlfn.XLOOKUP(A29,default_general!$A$2:$A$32,default_general!$D$2:$D$32,"Error",0)</f>
        <v>20</v>
      </c>
      <c r="E29" s="41" t="s">
        <v>8</v>
      </c>
    </row>
    <row r="30" spans="1:5" ht="27.6" x14ac:dyDescent="0.3">
      <c r="A30" s="37" t="s">
        <v>94</v>
      </c>
      <c r="B30" s="37" t="s">
        <v>95</v>
      </c>
      <c r="C30" s="37" t="s">
        <v>96</v>
      </c>
      <c r="D30" s="24">
        <f>_xlfn.XLOOKUP(A30,default_general!$A$2:$A$32,default_general!$D$2:$D$32,"Error",0)</f>
        <v>5</v>
      </c>
      <c r="E30" s="41" t="s">
        <v>8</v>
      </c>
    </row>
    <row r="31" spans="1:5" ht="27.6" x14ac:dyDescent="0.3">
      <c r="A31" s="37" t="s">
        <v>97</v>
      </c>
      <c r="B31" s="37" t="s">
        <v>98</v>
      </c>
      <c r="C31" s="37" t="s">
        <v>99</v>
      </c>
      <c r="D31" s="24">
        <f>_xlfn.XLOOKUP(A31,default_general!$A$2:$A$32,default_general!$D$2:$D$32,"Error",0)</f>
        <v>10</v>
      </c>
      <c r="E31" s="39" t="s">
        <v>100</v>
      </c>
    </row>
    <row r="32" spans="1:5" ht="27.6" x14ac:dyDescent="0.3">
      <c r="A32" s="40" t="s">
        <v>101</v>
      </c>
      <c r="B32" s="37" t="s">
        <v>102</v>
      </c>
      <c r="C32" s="37" t="s">
        <v>103</v>
      </c>
      <c r="D32" s="24">
        <f>_xlfn.XLOOKUP(A32,default_general!$A$2:$A$32,default_general!$D$2:$D$32,"Error",0)</f>
        <v>12</v>
      </c>
      <c r="E32" s="39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default_general</vt:lpstr>
      <vt:lpstr>default_mun1</vt:lpstr>
      <vt:lpstr>default_mun2</vt:lpstr>
      <vt:lpstr>default_mun3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Ricardo  Perez Restrepo</cp:lastModifiedBy>
  <cp:revision/>
  <dcterms:created xsi:type="dcterms:W3CDTF">2026-04-27T12:45:50Z</dcterms:created>
  <dcterms:modified xsi:type="dcterms:W3CDTF">2026-05-07T10:00:34Z</dcterms:modified>
  <cp:category/>
  <cp:contentStatus/>
</cp:coreProperties>
</file>